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A" sheetId="2" state="visible" r:id="rId2"/>
    <sheet name="B" sheetId="3" state="visible" r:id="rId3"/>
    <sheet name="C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abSelected="1" workbookViewId="0">
      <selection activeCell="R11" sqref="R11"/>
    </sheetView>
  </sheetViews>
  <sheetFormatPr baseColWidth="8" defaultRowHeight="16.5"/>
  <sheetData>
    <row r="1">
      <c r="A1" s="2" t="inlineStr">
        <is>
          <t>Fab</t>
        </is>
      </c>
      <c r="B1" s="2" t="inlineStr">
        <is>
          <t>BM Group</t>
        </is>
      </c>
      <c r="C1" s="2" t="inlineStr">
        <is>
          <t>User Demand (vcore)</t>
        </is>
      </c>
      <c r="I1" s="2" t="inlineStr">
        <is>
          <t>Server Requirement (Hardware)</t>
        </is>
      </c>
      <c r="O1" s="2" t="inlineStr">
        <is>
          <t>Server MoveIn (Hardware)</t>
        </is>
      </c>
      <c r="U1" s="2" t="inlineStr">
        <is>
          <t>Server Return (Hardware)</t>
        </is>
      </c>
      <c r="AA1" s="2" t="inlineStr">
        <is>
          <t>Server in-stock (Hardware)</t>
        </is>
      </c>
    </row>
    <row r="2">
      <c r="C2" s="2" t="inlineStr">
        <is>
          <t>20267'</t>
        </is>
      </c>
      <c r="D2" s="2" t="inlineStr">
        <is>
          <t>2026'8</t>
        </is>
      </c>
      <c r="E2" s="2" t="inlineStr">
        <is>
          <t>2026'9</t>
        </is>
      </c>
      <c r="F2" s="2" t="inlineStr">
        <is>
          <t>2026'10</t>
        </is>
      </c>
      <c r="G2" s="2" t="inlineStr">
        <is>
          <t>2026'11</t>
        </is>
      </c>
      <c r="H2" s="2" t="inlineStr">
        <is>
          <t>2026'12</t>
        </is>
      </c>
      <c r="I2" s="2" t="inlineStr">
        <is>
          <t>20267'</t>
        </is>
      </c>
      <c r="J2" s="2" t="inlineStr">
        <is>
          <t>2026'8</t>
        </is>
      </c>
      <c r="K2" s="2" t="inlineStr">
        <is>
          <t>2026'9</t>
        </is>
      </c>
      <c r="L2" s="2" t="inlineStr">
        <is>
          <t>2026'10</t>
        </is>
      </c>
      <c r="M2" s="2" t="inlineStr">
        <is>
          <t>2026'11</t>
        </is>
      </c>
      <c r="N2" s="2" t="inlineStr">
        <is>
          <t>2026'12</t>
        </is>
      </c>
      <c r="O2" s="2" t="inlineStr">
        <is>
          <t>20267'</t>
        </is>
      </c>
      <c r="P2" s="2" t="inlineStr">
        <is>
          <t>2026'8</t>
        </is>
      </c>
      <c r="Q2" s="2" t="inlineStr">
        <is>
          <t>2026'9</t>
        </is>
      </c>
      <c r="R2" s="2" t="inlineStr">
        <is>
          <t>2026'10</t>
        </is>
      </c>
      <c r="S2" s="2" t="inlineStr">
        <is>
          <t>2026'11</t>
        </is>
      </c>
      <c r="T2" s="2" t="inlineStr">
        <is>
          <t>2026'12</t>
        </is>
      </c>
      <c r="U2" s="2" t="inlineStr">
        <is>
          <t>20267'</t>
        </is>
      </c>
      <c r="V2" s="2" t="inlineStr">
        <is>
          <t>2026'8</t>
        </is>
      </c>
      <c r="W2" s="2" t="inlineStr">
        <is>
          <t>2026'9</t>
        </is>
      </c>
      <c r="X2" s="2" t="inlineStr">
        <is>
          <t>2026'10</t>
        </is>
      </c>
      <c r="Y2" s="2" t="inlineStr">
        <is>
          <t>2026'11</t>
        </is>
      </c>
      <c r="Z2" s="2" t="inlineStr">
        <is>
          <t>2026'12</t>
        </is>
      </c>
      <c r="AA2" s="2" t="inlineStr">
        <is>
          <t>Current</t>
        </is>
      </c>
      <c r="AB2" s="2" t="inlineStr">
        <is>
          <t>20267'</t>
        </is>
      </c>
      <c r="AC2" s="2" t="inlineStr">
        <is>
          <t>2026'8</t>
        </is>
      </c>
      <c r="AD2" s="2" t="inlineStr">
        <is>
          <t>2026'9</t>
        </is>
      </c>
      <c r="AE2" s="2" t="inlineStr">
        <is>
          <t>2026'10</t>
        </is>
      </c>
      <c r="AF2" s="2" t="inlineStr">
        <is>
          <t>2026'11</t>
        </is>
      </c>
      <c r="AG2" s="2" t="inlineStr">
        <is>
          <t>2026'12</t>
        </is>
      </c>
    </row>
    <row r="3">
      <c r="A3" s="2" t="inlineStr">
        <is>
          <t>A</t>
        </is>
      </c>
      <c r="B3" s="2" t="inlineStr">
        <is>
          <t>network1</t>
        </is>
      </c>
      <c r="C3" s="2">
        <f>A!C5+A!C6</f>
        <v/>
      </c>
      <c r="D3" s="2">
        <f>A!D5+A!D6</f>
        <v/>
      </c>
      <c r="E3" s="2">
        <f>A!E5+A!E6</f>
        <v/>
      </c>
      <c r="F3" s="2">
        <f>A!F5+A!F6</f>
        <v/>
      </c>
      <c r="G3" s="2">
        <f>A!G5+A!G6</f>
        <v/>
      </c>
      <c r="H3" s="2">
        <f>A!H5+A!H6</f>
        <v/>
      </c>
      <c r="I3" s="3">
        <f>C3/(64*0.8)</f>
        <v/>
      </c>
      <c r="J3" s="3">
        <f>D3/(64*0.8)</f>
        <v/>
      </c>
      <c r="K3" s="3">
        <f>E3/(64*0.8)</f>
        <v/>
      </c>
      <c r="L3" s="3">
        <f>F3/(64*0.8)</f>
        <v/>
      </c>
      <c r="M3" s="3">
        <f>G3/(64*0.8)</f>
        <v/>
      </c>
      <c r="N3" s="3">
        <f>H3/(64*0.8)</f>
        <v/>
      </c>
      <c r="O3" s="0" t="n">
        <v>0</v>
      </c>
      <c r="P3" s="0" t="n">
        <v>35</v>
      </c>
      <c r="Q3" s="0" t="n"/>
      <c r="R3" s="0" t="n">
        <v>0</v>
      </c>
      <c r="S3" s="0" t="n">
        <v>0</v>
      </c>
      <c r="T3" s="0" t="n">
        <v>0</v>
      </c>
      <c r="U3" s="0">
        <f>A!M5+A!M6</f>
        <v/>
      </c>
      <c r="V3" s="0">
        <f>A!N5+A!N6</f>
        <v/>
      </c>
      <c r="W3" s="0">
        <f>A!O5+A!O6</f>
        <v/>
      </c>
      <c r="X3" s="0">
        <f>A!P5+A!P6</f>
        <v/>
      </c>
      <c r="Y3" s="0">
        <f>A!Q5+A!Q6</f>
        <v/>
      </c>
      <c r="Z3" s="0">
        <f>A!R5+A!R6</f>
        <v/>
      </c>
      <c r="AA3" s="0" t="n">
        <v>50</v>
      </c>
      <c r="AB3" s="3">
        <f>AA3+U3+O3-I3</f>
        <v/>
      </c>
      <c r="AC3" s="3">
        <f>AB3+V3+P3-J3</f>
        <v/>
      </c>
      <c r="AD3" s="3">
        <f>AC3+W3+Q3-K3</f>
        <v/>
      </c>
      <c r="AE3" s="3">
        <f>AD3+X3+R3-L3</f>
        <v/>
      </c>
      <c r="AF3" s="3">
        <f>AE3+Y3+S3-M3</f>
        <v/>
      </c>
      <c r="AG3" s="3">
        <f>AF3+Z3+T3-N3</f>
        <v/>
      </c>
    </row>
    <row r="4">
      <c r="A4" s="2" t="inlineStr">
        <is>
          <t>A</t>
        </is>
      </c>
      <c r="B4" s="2" t="inlineStr">
        <is>
          <t>network2</t>
        </is>
      </c>
      <c r="C4" s="2">
        <f>A!C7+A!C8</f>
        <v/>
      </c>
      <c r="D4" s="2">
        <f>A!D7+A!D8</f>
        <v/>
      </c>
      <c r="E4" s="2">
        <f>A!E7+A!E8</f>
        <v/>
      </c>
      <c r="F4" s="2">
        <f>A!F7+A!F8</f>
        <v/>
      </c>
      <c r="G4" s="2">
        <f>A!G7+A!G8</f>
        <v/>
      </c>
      <c r="H4" s="2">
        <f>A!H7+A!H8</f>
        <v/>
      </c>
      <c r="I4" s="3">
        <f>C4/(64*0.8)</f>
        <v/>
      </c>
      <c r="J4" s="3">
        <f>D4/(64*0.8)</f>
        <v/>
      </c>
      <c r="K4" s="3">
        <f>E4/(64*0.8)</f>
        <v/>
      </c>
      <c r="L4" s="3">
        <f>F4/(64*0.8)</f>
        <v/>
      </c>
      <c r="M4" s="3">
        <f>G4/(64*0.8)</f>
        <v/>
      </c>
      <c r="N4" s="3">
        <f>H4/(64*0.8)</f>
        <v/>
      </c>
      <c r="O4" s="0" t="n">
        <v>0</v>
      </c>
      <c r="P4" s="0" t="n">
        <v>30</v>
      </c>
      <c r="Q4" s="0" t="n">
        <v>0</v>
      </c>
      <c r="R4" s="0" t="n">
        <v>0</v>
      </c>
      <c r="S4" s="0" t="n">
        <v>12</v>
      </c>
      <c r="T4" s="0" t="n">
        <v>0</v>
      </c>
      <c r="U4" s="0">
        <f>A!M7+A!M8</f>
        <v/>
      </c>
      <c r="V4" s="0">
        <f>A!N7+A!N8</f>
        <v/>
      </c>
      <c r="W4" s="0">
        <f>A!O7+A!O8</f>
        <v/>
      </c>
      <c r="X4" s="0">
        <f>A!P7+A!P8</f>
        <v/>
      </c>
      <c r="Y4" s="0">
        <f>A!Q7+A!Q8</f>
        <v/>
      </c>
      <c r="Z4" s="0">
        <f>A!R7+A!R8</f>
        <v/>
      </c>
      <c r="AA4" s="0" t="n">
        <v>32</v>
      </c>
      <c r="AB4" s="3">
        <f>AA4+U4+O4-I4</f>
        <v/>
      </c>
      <c r="AC4" s="3">
        <f>AB4+V4+P4-J4</f>
        <v/>
      </c>
      <c r="AD4" s="3">
        <f>AC4+W4+Q4-K4</f>
        <v/>
      </c>
      <c r="AE4" s="3">
        <f>AD4+X4+R4-L4</f>
        <v/>
      </c>
      <c r="AF4" s="3">
        <f>AE4+Y4+S4-M4</f>
        <v/>
      </c>
      <c r="AG4" s="3">
        <f>AF4+Z4+T4-N4</f>
        <v/>
      </c>
    </row>
    <row r="5">
      <c r="A5" s="2" t="inlineStr">
        <is>
          <t>B</t>
        </is>
      </c>
      <c r="B5" s="2" t="inlineStr">
        <is>
          <t>network1</t>
        </is>
      </c>
      <c r="C5" s="2">
        <f>B!C5+B!C6</f>
        <v/>
      </c>
      <c r="D5" s="2">
        <f>B!D5+B!D6</f>
        <v/>
      </c>
      <c r="E5" s="2">
        <f>B!E5+B!E6</f>
        <v/>
      </c>
      <c r="F5" s="2">
        <f>B!F5+B!F6</f>
        <v/>
      </c>
      <c r="G5" s="2">
        <f>B!G5+B!G6</f>
        <v/>
      </c>
      <c r="H5" s="2">
        <f>B!H5+B!H6</f>
        <v/>
      </c>
      <c r="I5" s="3">
        <f>C5/(64*0.8)</f>
        <v/>
      </c>
      <c r="J5" s="3">
        <f>D5/(64*0.8)</f>
        <v/>
      </c>
      <c r="K5" s="3">
        <f>E5/(64*0.8)</f>
        <v/>
      </c>
      <c r="L5" s="3">
        <f>F5/(64*0.8)</f>
        <v/>
      </c>
      <c r="M5" s="3">
        <f>G5/(64*0.8)</f>
        <v/>
      </c>
      <c r="N5" s="3">
        <f>H5/(64*0.8)</f>
        <v/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>
        <f>B!M5+B!M6</f>
        <v/>
      </c>
      <c r="V5" s="0">
        <f>B!N5+B!N6</f>
        <v/>
      </c>
      <c r="W5" s="0">
        <f>B!O5+B!O6</f>
        <v/>
      </c>
      <c r="X5" s="0">
        <f>B!P5+B!P6</f>
        <v/>
      </c>
      <c r="Y5" s="0">
        <f>B!Q5+B!Q6</f>
        <v/>
      </c>
      <c r="Z5" s="0">
        <f>B!R5+B!R6</f>
        <v/>
      </c>
      <c r="AA5" s="0" t="n">
        <v>0</v>
      </c>
      <c r="AB5" s="3">
        <f>AA5+U5+O5-I5</f>
        <v/>
      </c>
      <c r="AC5" s="3">
        <f>AB5+V5+P5-J5</f>
        <v/>
      </c>
      <c r="AD5" s="3">
        <f>AC5+W5+Q5-K5</f>
        <v/>
      </c>
      <c r="AE5" s="3">
        <f>AD5+X5+R5-L5</f>
        <v/>
      </c>
      <c r="AF5" s="3">
        <f>AE5+Y5+S5-M5</f>
        <v/>
      </c>
      <c r="AG5" s="3">
        <f>AF5+Z5+T5-N5</f>
        <v/>
      </c>
    </row>
    <row r="6">
      <c r="A6" s="2" t="inlineStr">
        <is>
          <t>B</t>
        </is>
      </c>
      <c r="B6" s="2" t="inlineStr">
        <is>
          <t>network2</t>
        </is>
      </c>
      <c r="C6" s="2">
        <f>B!C7+B!C8</f>
        <v/>
      </c>
      <c r="D6" s="2">
        <f>B!D7+B!D8</f>
        <v/>
      </c>
      <c r="E6" s="2">
        <f>B!E7+B!E8</f>
        <v/>
      </c>
      <c r="F6" s="2">
        <f>B!F7+B!F8</f>
        <v/>
      </c>
      <c r="G6" s="2">
        <f>B!G7+B!G8</f>
        <v/>
      </c>
      <c r="H6" s="2">
        <f>B!H7+B!H8</f>
        <v/>
      </c>
      <c r="I6" s="3">
        <f>C6/(64*0.8)</f>
        <v/>
      </c>
      <c r="J6" s="3">
        <f>D6/(64*0.8)</f>
        <v/>
      </c>
      <c r="K6" s="3">
        <f>E6/(64*0.8)</f>
        <v/>
      </c>
      <c r="L6" s="3">
        <f>F6/(64*0.8)</f>
        <v/>
      </c>
      <c r="M6" s="3">
        <f>G6/(64*0.8)</f>
        <v/>
      </c>
      <c r="N6" s="3">
        <f>H6/(64*0.8)</f>
        <v/>
      </c>
      <c r="O6" s="0" t="n">
        <v>0</v>
      </c>
      <c r="P6" s="0" t="n">
        <v>80</v>
      </c>
      <c r="Q6" s="0" t="n">
        <v>80</v>
      </c>
      <c r="R6" s="0" t="n">
        <v>0</v>
      </c>
      <c r="S6" s="0" t="n">
        <v>0</v>
      </c>
      <c r="T6" s="0" t="n">
        <v>0</v>
      </c>
      <c r="U6" s="0">
        <f>B!M7+B!M8</f>
        <v/>
      </c>
      <c r="V6" s="0">
        <f>B!N7+B!N8</f>
        <v/>
      </c>
      <c r="W6" s="0">
        <f>B!O7+B!O8</f>
        <v/>
      </c>
      <c r="X6" s="0">
        <f>B!P7+B!P8</f>
        <v/>
      </c>
      <c r="Y6" s="0">
        <f>B!Q7+B!Q8</f>
        <v/>
      </c>
      <c r="Z6" s="0">
        <f>B!R7+B!R8</f>
        <v/>
      </c>
      <c r="AA6" s="0" t="n">
        <v>0</v>
      </c>
      <c r="AB6" s="3">
        <f>AA6+U6+O6-I6</f>
        <v/>
      </c>
      <c r="AC6" s="3">
        <f>AB6+V6+P6-J6</f>
        <v/>
      </c>
      <c r="AD6" s="3">
        <f>AC6+W6+Q6-K6</f>
        <v/>
      </c>
      <c r="AE6" s="3">
        <f>AD6+X6+R6-L6</f>
        <v/>
      </c>
      <c r="AF6" s="3">
        <f>AE6+Y6+S6-M6</f>
        <v/>
      </c>
      <c r="AG6" s="3">
        <f>AF6+Z6+T6-N6</f>
        <v/>
      </c>
    </row>
    <row r="7">
      <c r="A7" s="2" t="inlineStr">
        <is>
          <t>C</t>
        </is>
      </c>
      <c r="B7" s="2" t="inlineStr">
        <is>
          <t>network1</t>
        </is>
      </c>
      <c r="C7" s="2">
        <f>'C'!C5+'C'!C6</f>
        <v/>
      </c>
      <c r="D7" s="2">
        <f>'C'!D5+'C'!D6</f>
        <v/>
      </c>
      <c r="E7" s="2">
        <f>'C'!E5+'C'!E6</f>
        <v/>
      </c>
      <c r="F7" s="2">
        <f>'C'!F5+'C'!F6</f>
        <v/>
      </c>
      <c r="G7" s="2">
        <f>'C'!G5+'C'!G6</f>
        <v/>
      </c>
      <c r="H7" s="2">
        <f>'C'!H5+'C'!H6</f>
        <v/>
      </c>
      <c r="I7" s="3">
        <f>C7/(64*0.8)</f>
        <v/>
      </c>
      <c r="J7" s="3">
        <f>D7/(64*0.8)</f>
        <v/>
      </c>
      <c r="K7" s="3">
        <f>E7/(64*0.8)</f>
        <v/>
      </c>
      <c r="L7" s="3">
        <f>F7/(64*0.8)</f>
        <v/>
      </c>
      <c r="M7" s="3">
        <f>G7/(64*0.8)</f>
        <v/>
      </c>
      <c r="N7" s="3">
        <f>H7/(64*0.8)</f>
        <v/>
      </c>
      <c r="O7" s="0" t="n">
        <v>0</v>
      </c>
      <c r="P7" s="0" t="n">
        <v>10</v>
      </c>
      <c r="Q7" s="0" t="n">
        <v>0</v>
      </c>
      <c r="R7" s="0" t="n">
        <v>0</v>
      </c>
      <c r="S7" s="0" t="n">
        <v>0</v>
      </c>
      <c r="T7" s="0">
        <f>'C'!M5+'C'!M6</f>
        <v/>
      </c>
      <c r="U7" s="0">
        <f>'C'!M5+'C'!M6</f>
        <v/>
      </c>
      <c r="V7" s="0">
        <f>'C'!N5+'C'!N6</f>
        <v/>
      </c>
      <c r="W7" s="0">
        <f>'C'!O5+'C'!O6</f>
        <v/>
      </c>
      <c r="X7" s="0">
        <f>'C'!P5+'C'!P6</f>
        <v/>
      </c>
      <c r="Y7" s="0">
        <f>'C'!Q5+'C'!Q6</f>
        <v/>
      </c>
      <c r="Z7" s="0">
        <f>'C'!R5+'C'!R6</f>
        <v/>
      </c>
      <c r="AA7" s="0" t="n">
        <v>8</v>
      </c>
      <c r="AB7" s="3">
        <f>AA7+U7+O7-I7</f>
        <v/>
      </c>
      <c r="AC7" s="3">
        <f>AB7+V7+P7-J7</f>
        <v/>
      </c>
      <c r="AD7" s="3">
        <f>AC7+W7+Q7-K7</f>
        <v/>
      </c>
      <c r="AE7" s="3">
        <f>AD7+X7+R7-L7</f>
        <v/>
      </c>
      <c r="AF7" s="3">
        <f>AE7+Y7+S7-M7</f>
        <v/>
      </c>
      <c r="AG7" s="3">
        <f>AF7+Z7+T7-N7</f>
        <v/>
      </c>
    </row>
    <row r="8">
      <c r="A8" s="2" t="inlineStr">
        <is>
          <t>C</t>
        </is>
      </c>
      <c r="B8" s="2" t="inlineStr">
        <is>
          <t>network2</t>
        </is>
      </c>
      <c r="C8" s="2">
        <f>'C'!C7+'C'!C8</f>
        <v/>
      </c>
      <c r="D8" s="2">
        <f>'C'!D7+'C'!D8</f>
        <v/>
      </c>
      <c r="E8" s="2">
        <f>'C'!E7+'C'!E8</f>
        <v/>
      </c>
      <c r="F8" s="2">
        <f>'C'!F7+'C'!F8</f>
        <v/>
      </c>
      <c r="G8" s="2">
        <f>'C'!G7+'C'!G8</f>
        <v/>
      </c>
      <c r="H8" s="2">
        <f>'C'!H7+'C'!H8</f>
        <v/>
      </c>
      <c r="I8" s="3">
        <f>C8/(64*0.8)</f>
        <v/>
      </c>
      <c r="J8" s="3">
        <f>D8/(64*0.8)</f>
        <v/>
      </c>
      <c r="K8" s="3">
        <f>E8/(64*0.8)</f>
        <v/>
      </c>
      <c r="L8" s="3">
        <f>F8/(64*0.8)</f>
        <v/>
      </c>
      <c r="M8" s="3">
        <f>G8/(64*0.8)</f>
        <v/>
      </c>
      <c r="N8" s="3">
        <f>H8/(64*0.8)</f>
        <v/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>
        <f>'C'!M7+'C'!M8</f>
        <v/>
      </c>
      <c r="V8" s="0">
        <f>'C'!N7+'C'!N8</f>
        <v/>
      </c>
      <c r="W8" s="0">
        <f>'C'!O7+'C'!O8</f>
        <v/>
      </c>
      <c r="X8" s="0">
        <f>'C'!P7+'C'!P8</f>
        <v/>
      </c>
      <c r="Y8" s="0">
        <f>'C'!Q7+'C'!Q8</f>
        <v/>
      </c>
      <c r="Z8" s="0">
        <f>'C'!R7+'C'!R8</f>
        <v/>
      </c>
      <c r="AA8" s="0" t="n">
        <v>21</v>
      </c>
      <c r="AB8" s="3">
        <f>AA8+U8+O8-I8</f>
        <v/>
      </c>
      <c r="AC8" s="3">
        <f>AB8+V8+P8-J8</f>
        <v/>
      </c>
      <c r="AD8" s="3">
        <f>AC8+W8+Q8-K8</f>
        <v/>
      </c>
      <c r="AE8" s="3">
        <f>AD8+X8+R8-L8</f>
        <v/>
      </c>
      <c r="AF8" s="3">
        <f>AE8+Y8+S8-M8</f>
        <v/>
      </c>
      <c r="AG8" s="3">
        <f>AF8+Z8+T8-N8</f>
        <v/>
      </c>
    </row>
  </sheetData>
  <mergeCells count="7">
    <mergeCell ref="AA1:AG1"/>
    <mergeCell ref="O1:T1"/>
    <mergeCell ref="U1:Z1"/>
    <mergeCell ref="I1:N1"/>
    <mergeCell ref="B1:B2"/>
    <mergeCell ref="C1:H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R8"/>
  <sheetViews>
    <sheetView workbookViewId="0">
      <selection activeCell="A3" sqref="A3:R8"/>
    </sheetView>
  </sheetViews>
  <sheetFormatPr baseColWidth="8" defaultRowHeight="16.5"/>
  <cols>
    <col width="13" bestFit="1" customWidth="1" style="4" min="1" max="1"/>
    <col width="14.25" bestFit="1" customWidth="1" style="4" min="11" max="11"/>
  </cols>
  <sheetData>
    <row r="3">
      <c r="C3" s="2" t="inlineStr">
        <is>
          <t>User Demand (vcore)</t>
        </is>
      </c>
      <c r="M3" s="2" t="inlineStr">
        <is>
          <t>Server Return</t>
        </is>
      </c>
    </row>
    <row r="4">
      <c r="C4" s="2" t="inlineStr">
        <is>
          <t>20267'</t>
        </is>
      </c>
      <c r="D4" s="2" t="inlineStr">
        <is>
          <t>2026'8</t>
        </is>
      </c>
      <c r="E4" s="2" t="inlineStr">
        <is>
          <t>2026'9</t>
        </is>
      </c>
      <c r="F4" s="2" t="inlineStr">
        <is>
          <t>2026'10</t>
        </is>
      </c>
      <c r="G4" s="2" t="inlineStr">
        <is>
          <t>2026'11</t>
        </is>
      </c>
      <c r="H4" s="2" t="inlineStr">
        <is>
          <t>2026'12</t>
        </is>
      </c>
      <c r="M4" s="2" t="inlineStr">
        <is>
          <t>20267'</t>
        </is>
      </c>
      <c r="N4" s="2" t="inlineStr">
        <is>
          <t>2026'8</t>
        </is>
      </c>
      <c r="O4" s="2" t="inlineStr">
        <is>
          <t>2026'9</t>
        </is>
      </c>
      <c r="P4" s="2" t="inlineStr">
        <is>
          <t>2026'10</t>
        </is>
      </c>
      <c r="Q4" s="2" t="inlineStr">
        <is>
          <t>2026'11</t>
        </is>
      </c>
      <c r="R4" s="2" t="inlineStr">
        <is>
          <t>2026'12</t>
        </is>
      </c>
    </row>
    <row r="5">
      <c r="A5" s="0" t="inlineStr">
        <is>
          <t>Product Apple</t>
        </is>
      </c>
      <c r="B5" s="2" t="inlineStr">
        <is>
          <t>network1</t>
        </is>
      </c>
      <c r="C5" s="0" t="n">
        <v>512</v>
      </c>
      <c r="D5" s="0" t="n">
        <v>422</v>
      </c>
      <c r="E5" s="0" t="n">
        <v>333</v>
      </c>
      <c r="F5" s="0" t="n">
        <v>655</v>
      </c>
      <c r="G5" s="0" t="n">
        <v>444</v>
      </c>
      <c r="H5" s="0" t="n">
        <v>0</v>
      </c>
      <c r="K5" s="0" t="inlineStr">
        <is>
          <t>Product Apple</t>
        </is>
      </c>
      <c r="L5" s="2" t="inlineStr">
        <is>
          <t>network1</t>
        </is>
      </c>
      <c r="M5" s="0" t="n">
        <v>0</v>
      </c>
      <c r="N5" s="0" t="n">
        <v>0</v>
      </c>
      <c r="O5" s="0" t="n">
        <v>52</v>
      </c>
      <c r="P5" s="0" t="n">
        <v>0</v>
      </c>
      <c r="Q5" s="0" t="n">
        <v>0</v>
      </c>
      <c r="R5" s="0" t="n">
        <v>0</v>
      </c>
    </row>
    <row r="6">
      <c r="A6" s="0" t="inlineStr">
        <is>
          <t>Product Banana</t>
        </is>
      </c>
      <c r="B6" s="2" t="inlineStr">
        <is>
          <t>network1</t>
        </is>
      </c>
      <c r="C6" s="0" t="n">
        <v>358</v>
      </c>
      <c r="D6" s="0" t="n">
        <v>563</v>
      </c>
      <c r="E6" s="0" t="n">
        <v>222</v>
      </c>
      <c r="F6" s="0" t="n">
        <v>0</v>
      </c>
      <c r="G6" s="0" t="n">
        <v>0</v>
      </c>
      <c r="H6" s="0" t="n">
        <v>451</v>
      </c>
      <c r="K6" s="0" t="inlineStr">
        <is>
          <t>Product Banana</t>
        </is>
      </c>
      <c r="L6" s="2" t="inlineStr">
        <is>
          <t>network1</t>
        </is>
      </c>
      <c r="M6" s="0" t="n">
        <v>0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</row>
    <row r="7">
      <c r="A7" s="0" t="inlineStr">
        <is>
          <t>Product Banana</t>
        </is>
      </c>
      <c r="B7" s="2" t="inlineStr">
        <is>
          <t>network2</t>
        </is>
      </c>
      <c r="C7" s="0" t="n">
        <v>214</v>
      </c>
      <c r="D7" s="0" t="n">
        <v>547</v>
      </c>
      <c r="E7" s="0" t="n">
        <v>0</v>
      </c>
      <c r="F7" s="0" t="n">
        <v>0</v>
      </c>
      <c r="G7" s="0" t="n">
        <v>0</v>
      </c>
      <c r="H7" s="0" t="n">
        <v>423</v>
      </c>
      <c r="K7" s="0" t="inlineStr">
        <is>
          <t>Product Banana</t>
        </is>
      </c>
      <c r="L7" s="2" t="inlineStr">
        <is>
          <t>network2</t>
        </is>
      </c>
      <c r="M7" s="0" t="n">
        <v>0</v>
      </c>
      <c r="N7" s="0" t="n">
        <v>33</v>
      </c>
      <c r="O7" s="0" t="n">
        <v>11</v>
      </c>
      <c r="P7" s="0" t="n">
        <v>0</v>
      </c>
      <c r="Q7" s="0" t="n">
        <v>0</v>
      </c>
      <c r="R7" s="0" t="n">
        <v>0</v>
      </c>
    </row>
    <row r="8">
      <c r="A8" s="0" t="inlineStr">
        <is>
          <t>Product Banana</t>
        </is>
      </c>
      <c r="B8" s="2" t="inlineStr">
        <is>
          <t>network2</t>
        </is>
      </c>
      <c r="C8" s="0" t="n">
        <v>889</v>
      </c>
      <c r="D8" s="0" t="n">
        <v>244</v>
      </c>
      <c r="E8" s="0" t="n">
        <v>0</v>
      </c>
      <c r="F8" s="0" t="n">
        <v>0</v>
      </c>
      <c r="G8" s="0" t="n">
        <v>0</v>
      </c>
      <c r="H8" s="0" t="n">
        <v>855</v>
      </c>
      <c r="K8" s="0" t="inlineStr">
        <is>
          <t>Product Banana</t>
        </is>
      </c>
      <c r="L8" s="2" t="inlineStr">
        <is>
          <t>network2</t>
        </is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22</v>
      </c>
    </row>
  </sheetData>
  <mergeCells count="2">
    <mergeCell ref="M3:R3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R8"/>
  <sheetViews>
    <sheetView workbookViewId="0">
      <selection activeCell="N9" sqref="N9"/>
    </sheetView>
  </sheetViews>
  <sheetFormatPr baseColWidth="8" defaultRowHeight="16.5"/>
  <sheetData>
    <row r="3">
      <c r="C3" s="2" t="inlineStr">
        <is>
          <t>User Demand (vcore)</t>
        </is>
      </c>
      <c r="M3" s="2" t="inlineStr">
        <is>
          <t>Server Return</t>
        </is>
      </c>
    </row>
    <row r="4">
      <c r="C4" s="2" t="inlineStr">
        <is>
          <t>20267'</t>
        </is>
      </c>
      <c r="D4" s="2" t="inlineStr">
        <is>
          <t>2026'8</t>
        </is>
      </c>
      <c r="E4" s="2" t="inlineStr">
        <is>
          <t>2026'9</t>
        </is>
      </c>
      <c r="F4" s="2" t="inlineStr">
        <is>
          <t>2026'10</t>
        </is>
      </c>
      <c r="G4" s="2" t="inlineStr">
        <is>
          <t>2026'11</t>
        </is>
      </c>
      <c r="H4" s="2" t="inlineStr">
        <is>
          <t>2026'12</t>
        </is>
      </c>
      <c r="M4" s="2" t="inlineStr">
        <is>
          <t>20267'</t>
        </is>
      </c>
      <c r="N4" s="2" t="inlineStr">
        <is>
          <t>2026'8</t>
        </is>
      </c>
      <c r="O4" s="2" t="inlineStr">
        <is>
          <t>2026'9</t>
        </is>
      </c>
      <c r="P4" s="2" t="inlineStr">
        <is>
          <t>2026'10</t>
        </is>
      </c>
      <c r="Q4" s="2" t="inlineStr">
        <is>
          <t>2026'11</t>
        </is>
      </c>
      <c r="R4" s="2" t="inlineStr">
        <is>
          <t>2026'12</t>
        </is>
      </c>
    </row>
    <row r="5">
      <c r="A5" s="0" t="inlineStr">
        <is>
          <t>Product Apple</t>
        </is>
      </c>
      <c r="B5" s="2" t="inlineStr">
        <is>
          <t>network1</t>
        </is>
      </c>
      <c r="C5" s="0" t="n">
        <v>121</v>
      </c>
      <c r="D5" s="0" t="n">
        <v>445</v>
      </c>
      <c r="E5" s="0" t="n">
        <v>222</v>
      </c>
      <c r="F5" s="0" t="n">
        <v>552</v>
      </c>
      <c r="G5" s="0" t="n">
        <v>124</v>
      </c>
      <c r="H5" s="0" t="n">
        <v>0</v>
      </c>
      <c r="K5" s="0" t="inlineStr">
        <is>
          <t>Product Apple</t>
        </is>
      </c>
      <c r="L5" s="2" t="inlineStr">
        <is>
          <t>network1</t>
        </is>
      </c>
      <c r="M5" s="0" t="n">
        <v>0</v>
      </c>
      <c r="N5" s="0" t="n">
        <v>0</v>
      </c>
      <c r="O5" s="0" t="n">
        <v>33</v>
      </c>
      <c r="P5" s="0" t="n">
        <v>0</v>
      </c>
      <c r="Q5" s="0" t="n">
        <v>0</v>
      </c>
      <c r="R5" s="0" t="n">
        <v>0</v>
      </c>
    </row>
    <row r="6">
      <c r="A6" s="0" t="inlineStr">
        <is>
          <t>Product Banana</t>
        </is>
      </c>
      <c r="B6" s="2" t="inlineStr">
        <is>
          <t>network1</t>
        </is>
      </c>
      <c r="C6" s="0" t="n">
        <v>256</v>
      </c>
      <c r="D6" s="0" t="n">
        <v>3215</v>
      </c>
      <c r="E6" s="0" t="n">
        <v>0</v>
      </c>
      <c r="F6" s="0" t="n">
        <v>0</v>
      </c>
      <c r="G6" s="0" t="n">
        <v>0</v>
      </c>
      <c r="H6" s="0" t="n">
        <v>214</v>
      </c>
      <c r="K6" s="0" t="inlineStr">
        <is>
          <t>Product Banana</t>
        </is>
      </c>
      <c r="L6" s="2" t="inlineStr">
        <is>
          <t>network1</t>
        </is>
      </c>
      <c r="M6" s="0" t="n">
        <v>0</v>
      </c>
      <c r="N6" s="0" t="n">
        <v>52</v>
      </c>
      <c r="O6" s="0" t="n">
        <v>0</v>
      </c>
      <c r="P6" s="0" t="n">
        <v>0</v>
      </c>
      <c r="Q6" s="0" t="n">
        <v>0</v>
      </c>
      <c r="R6" s="0" t="n">
        <v>0</v>
      </c>
    </row>
    <row r="7">
      <c r="A7" s="0" t="inlineStr">
        <is>
          <t>Product Banana</t>
        </is>
      </c>
      <c r="B7" s="2" t="inlineStr">
        <is>
          <t>network2</t>
        </is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255</v>
      </c>
      <c r="K7" s="0" t="inlineStr">
        <is>
          <t>Product Banana</t>
        </is>
      </c>
      <c r="L7" s="2" t="inlineStr">
        <is>
          <t>network2</t>
        </is>
      </c>
      <c r="M7" s="0" t="n">
        <v>0</v>
      </c>
      <c r="N7" s="0" t="n">
        <v>12</v>
      </c>
      <c r="O7" s="0" t="n">
        <v>57</v>
      </c>
      <c r="P7" s="0" t="n">
        <v>0</v>
      </c>
      <c r="Q7" s="0" t="n">
        <v>0</v>
      </c>
      <c r="R7" s="0" t="n">
        <v>3</v>
      </c>
    </row>
    <row r="8">
      <c r="A8" s="0" t="inlineStr">
        <is>
          <t>Product Banana</t>
        </is>
      </c>
      <c r="B8" s="2" t="inlineStr">
        <is>
          <t>network2</t>
        </is>
      </c>
      <c r="C8" s="0" t="n">
        <v>255</v>
      </c>
      <c r="D8" s="0" t="n">
        <v>314</v>
      </c>
      <c r="E8" s="0" t="n">
        <v>0</v>
      </c>
      <c r="F8" s="0" t="n">
        <v>0</v>
      </c>
      <c r="G8" s="0" t="n">
        <v>0</v>
      </c>
      <c r="H8" s="0" t="n">
        <v>688</v>
      </c>
      <c r="K8" s="0" t="inlineStr">
        <is>
          <t>Product Banana</t>
        </is>
      </c>
      <c r="L8" s="2" t="inlineStr">
        <is>
          <t>network2</t>
        </is>
      </c>
      <c r="M8" s="0" t="n">
        <v>0</v>
      </c>
      <c r="N8" s="0" t="n">
        <v>42</v>
      </c>
      <c r="O8" s="0" t="n">
        <v>0</v>
      </c>
      <c r="P8" s="0" t="n">
        <v>58</v>
      </c>
      <c r="Q8" s="0" t="n">
        <v>0</v>
      </c>
      <c r="R8" s="0" t="n">
        <v>0</v>
      </c>
    </row>
  </sheetData>
  <mergeCells count="2">
    <mergeCell ref="M3:R3"/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R8"/>
  <sheetViews>
    <sheetView workbookViewId="0">
      <selection activeCell="N14" sqref="N14"/>
    </sheetView>
  </sheetViews>
  <sheetFormatPr baseColWidth="8" defaultRowHeight="16.5"/>
  <sheetData>
    <row r="3">
      <c r="C3" s="2" t="inlineStr">
        <is>
          <t>User Demand (vcore)</t>
        </is>
      </c>
      <c r="M3" s="2" t="inlineStr">
        <is>
          <t>Server Return</t>
        </is>
      </c>
    </row>
    <row r="4">
      <c r="C4" s="2" t="inlineStr">
        <is>
          <t>20267'</t>
        </is>
      </c>
      <c r="D4" s="2" t="inlineStr">
        <is>
          <t>2026'8</t>
        </is>
      </c>
      <c r="E4" s="2" t="inlineStr">
        <is>
          <t>2026'9</t>
        </is>
      </c>
      <c r="F4" s="2" t="inlineStr">
        <is>
          <t>2026'10</t>
        </is>
      </c>
      <c r="G4" s="2" t="inlineStr">
        <is>
          <t>2026'11</t>
        </is>
      </c>
      <c r="H4" s="2" t="inlineStr">
        <is>
          <t>2026'12</t>
        </is>
      </c>
      <c r="M4" s="2" t="inlineStr">
        <is>
          <t>20267'</t>
        </is>
      </c>
      <c r="N4" s="2" t="inlineStr">
        <is>
          <t>2026'8</t>
        </is>
      </c>
      <c r="O4" s="2" t="inlineStr">
        <is>
          <t>2026'9</t>
        </is>
      </c>
      <c r="P4" s="2" t="inlineStr">
        <is>
          <t>2026'10</t>
        </is>
      </c>
      <c r="Q4" s="2" t="inlineStr">
        <is>
          <t>2026'11</t>
        </is>
      </c>
      <c r="R4" s="2" t="inlineStr">
        <is>
          <t>2026'12</t>
        </is>
      </c>
    </row>
    <row r="5">
      <c r="A5" s="0" t="inlineStr">
        <is>
          <t>Product Apple</t>
        </is>
      </c>
      <c r="B5" s="2" t="inlineStr">
        <is>
          <t>network1</t>
        </is>
      </c>
      <c r="C5" s="0" t="n">
        <v>95</v>
      </c>
      <c r="D5" s="0" t="n">
        <v>89</v>
      </c>
      <c r="E5" s="0" t="n">
        <v>0</v>
      </c>
      <c r="F5" s="0" t="n">
        <v>0</v>
      </c>
      <c r="G5" s="0" t="n">
        <v>862</v>
      </c>
      <c r="H5" s="0" t="n">
        <v>0</v>
      </c>
      <c r="K5" s="0" t="inlineStr">
        <is>
          <t>Product Apple</t>
        </is>
      </c>
      <c r="L5" s="2" t="inlineStr">
        <is>
          <t>network1</t>
        </is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24</v>
      </c>
      <c r="R5" s="0" t="n">
        <v>0</v>
      </c>
    </row>
    <row r="6">
      <c r="A6" s="0" t="inlineStr">
        <is>
          <t>Product Banana</t>
        </is>
      </c>
      <c r="B6" s="2" t="inlineStr">
        <is>
          <t>network1</t>
        </is>
      </c>
      <c r="C6" s="0" t="n">
        <v>44</v>
      </c>
      <c r="D6" s="0" t="n">
        <v>22</v>
      </c>
      <c r="E6" s="0" t="n">
        <v>421</v>
      </c>
      <c r="F6" s="0" t="n">
        <v>0</v>
      </c>
      <c r="G6" s="0" t="n">
        <v>0</v>
      </c>
      <c r="H6" s="0" t="n">
        <v>144</v>
      </c>
      <c r="K6" s="0" t="inlineStr">
        <is>
          <t>Product Banana</t>
        </is>
      </c>
      <c r="L6" s="2" t="inlineStr">
        <is>
          <t>network1</t>
        </is>
      </c>
      <c r="M6" s="0" t="n">
        <v>0</v>
      </c>
      <c r="N6" s="0" t="n">
        <v>5</v>
      </c>
      <c r="O6" s="0" t="n">
        <v>55</v>
      </c>
      <c r="P6" s="0" t="n">
        <v>0</v>
      </c>
      <c r="Q6" s="0" t="n">
        <v>0</v>
      </c>
      <c r="R6" s="0" t="n">
        <v>0</v>
      </c>
    </row>
    <row r="7">
      <c r="A7" s="0" t="inlineStr">
        <is>
          <t>Product Banana</t>
        </is>
      </c>
      <c r="B7" s="2" t="inlineStr">
        <is>
          <t>network2</t>
        </is>
      </c>
      <c r="C7" s="0" t="n">
        <v>331</v>
      </c>
      <c r="D7" s="0" t="n">
        <v>547</v>
      </c>
      <c r="E7" s="0" t="n">
        <v>0</v>
      </c>
      <c r="F7" s="0" t="n">
        <v>0</v>
      </c>
      <c r="G7" s="0" t="n">
        <v>0</v>
      </c>
      <c r="H7" s="0" t="n">
        <v>253</v>
      </c>
      <c r="K7" s="0" t="inlineStr">
        <is>
          <t>Product Banana</t>
        </is>
      </c>
      <c r="L7" s="2" t="inlineStr">
        <is>
          <t>network2</t>
        </is>
      </c>
      <c r="M7" s="0" t="n">
        <v>0</v>
      </c>
      <c r="N7" s="0" t="n">
        <v>0</v>
      </c>
      <c r="O7" s="0" t="n">
        <v>52</v>
      </c>
      <c r="P7" s="0" t="n">
        <v>0</v>
      </c>
      <c r="Q7" s="0" t="n">
        <v>33</v>
      </c>
      <c r="R7" s="0" t="n">
        <v>0</v>
      </c>
    </row>
    <row r="8">
      <c r="A8" s="0" t="inlineStr">
        <is>
          <t>Product Banana</t>
        </is>
      </c>
      <c r="B8" s="2" t="inlineStr">
        <is>
          <t>network2</t>
        </is>
      </c>
      <c r="C8" s="0" t="n">
        <v>1024</v>
      </c>
      <c r="D8" s="0" t="n">
        <v>3148</v>
      </c>
      <c r="E8" s="0" t="n">
        <v>0</v>
      </c>
      <c r="F8" s="0" t="n">
        <v>0</v>
      </c>
      <c r="G8" s="0" t="n">
        <v>0</v>
      </c>
      <c r="H8" s="0" t="n">
        <v>255</v>
      </c>
      <c r="K8" s="0" t="inlineStr">
        <is>
          <t>Product Banana</t>
        </is>
      </c>
      <c r="L8" s="2" t="inlineStr">
        <is>
          <t>network2</t>
        </is>
      </c>
      <c r="M8" s="0" t="n">
        <v>12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8</v>
      </c>
    </row>
  </sheetData>
  <mergeCells count="2">
    <mergeCell ref="M3:R3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韋良 盧</dc:creator>
  <dcterms:created xsi:type="dcterms:W3CDTF">2026-07-20T13:11:55Z</dcterms:created>
  <dcterms:modified xsi:type="dcterms:W3CDTF">2026-07-20T22:33:20Z</dcterms:modified>
  <cp:lastModifiedBy>韋良 盧</cp:lastModifiedBy>
</cp:coreProperties>
</file>