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CapacityPlanning\"/>
    </mc:Choice>
  </mc:AlternateContent>
  <xr:revisionPtr revIDLastSave="0" documentId="8_{68734B0E-5A64-46BA-8ACF-CEDE6B00C46B}" xr6:coauthVersionLast="47" xr6:coauthVersionMax="47" xr10:uidLastSave="{00000000-0000-0000-0000-000000000000}"/>
  <bookViews>
    <workbookView xWindow="-120" yWindow="-120" windowWidth="29040" windowHeight="15720" xr2:uid="{E3B1C2B6-E40B-4702-8C13-9700145E69A1}"/>
  </bookViews>
  <sheets>
    <sheet name="summary" sheetId="1" r:id="rId1"/>
    <sheet name="A" sheetId="2" r:id="rId2"/>
    <sheet name="B" sheetId="3" r:id="rId3"/>
    <sheet name="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7" i="1" l="1"/>
  <c r="W7" i="1"/>
  <c r="X7" i="1"/>
  <c r="Y7" i="1"/>
  <c r="Z7" i="1"/>
  <c r="U7" i="1"/>
  <c r="V8" i="1"/>
  <c r="W8" i="1"/>
  <c r="X8" i="1"/>
  <c r="Y8" i="1"/>
  <c r="Z8" i="1"/>
  <c r="U8" i="1"/>
  <c r="T7" i="1"/>
  <c r="D8" i="1"/>
  <c r="E8" i="1"/>
  <c r="F8" i="1"/>
  <c r="G8" i="1"/>
  <c r="H8" i="1"/>
  <c r="C8" i="1"/>
  <c r="D7" i="1"/>
  <c r="E7" i="1"/>
  <c r="F7" i="1"/>
  <c r="G7" i="1"/>
  <c r="H7" i="1"/>
  <c r="C7" i="1"/>
  <c r="V6" i="1"/>
  <c r="W6" i="1"/>
  <c r="X6" i="1"/>
  <c r="Y6" i="1"/>
  <c r="Z6" i="1"/>
  <c r="U6" i="1"/>
  <c r="D6" i="1"/>
  <c r="E6" i="1"/>
  <c r="F6" i="1"/>
  <c r="G6" i="1"/>
  <c r="M6" i="1" s="1"/>
  <c r="H6" i="1"/>
  <c r="C6" i="1"/>
  <c r="V5" i="1"/>
  <c r="W5" i="1"/>
  <c r="X5" i="1"/>
  <c r="Y5" i="1"/>
  <c r="Z5" i="1"/>
  <c r="U5" i="1"/>
  <c r="D5" i="1"/>
  <c r="E5" i="1"/>
  <c r="K5" i="1" s="1"/>
  <c r="F5" i="1"/>
  <c r="L5" i="1" s="1"/>
  <c r="G5" i="1"/>
  <c r="M5" i="1" s="1"/>
  <c r="H5" i="1"/>
  <c r="N5" i="1" s="1"/>
  <c r="C5" i="1"/>
  <c r="I5" i="1" s="1"/>
  <c r="V4" i="1"/>
  <c r="W4" i="1"/>
  <c r="X4" i="1"/>
  <c r="Y4" i="1"/>
  <c r="Z4" i="1"/>
  <c r="U4" i="1"/>
  <c r="D4" i="1"/>
  <c r="J4" i="1" s="1"/>
  <c r="E4" i="1"/>
  <c r="F4" i="1"/>
  <c r="L4" i="1" s="1"/>
  <c r="G4" i="1"/>
  <c r="M4" i="1" s="1"/>
  <c r="H4" i="1"/>
  <c r="N4" i="1" s="1"/>
  <c r="C4" i="1"/>
  <c r="V3" i="1"/>
  <c r="W3" i="1"/>
  <c r="X3" i="1"/>
  <c r="Y3" i="1"/>
  <c r="Z3" i="1"/>
  <c r="U3" i="1"/>
  <c r="D3" i="1"/>
  <c r="E3" i="1"/>
  <c r="F3" i="1"/>
  <c r="G3" i="1"/>
  <c r="H3" i="1"/>
  <c r="C3" i="1"/>
  <c r="I4" i="1"/>
  <c r="K4" i="1"/>
  <c r="J5" i="1"/>
  <c r="I6" i="1"/>
  <c r="AB6" i="1" s="1"/>
  <c r="AC6" i="1" s="1"/>
  <c r="AD6" i="1" s="1"/>
  <c r="AE6" i="1" s="1"/>
  <c r="J6" i="1"/>
  <c r="K6" i="1"/>
  <c r="L6" i="1"/>
  <c r="N6" i="1"/>
  <c r="I7" i="1"/>
  <c r="AB7" i="1" s="1"/>
  <c r="J7" i="1"/>
  <c r="K7" i="1"/>
  <c r="L7" i="1"/>
  <c r="M7" i="1"/>
  <c r="N7" i="1"/>
  <c r="I8" i="1"/>
  <c r="AB8" i="1" s="1"/>
  <c r="J8" i="1"/>
  <c r="K8" i="1"/>
  <c r="L8" i="1"/>
  <c r="M8" i="1"/>
  <c r="N8" i="1"/>
  <c r="J3" i="1"/>
  <c r="K3" i="1"/>
  <c r="L3" i="1"/>
  <c r="M3" i="1"/>
  <c r="N3" i="1"/>
  <c r="I3" i="1"/>
  <c r="AB3" i="1" s="1"/>
  <c r="AC8" i="1" l="1"/>
  <c r="AD8" i="1" s="1"/>
  <c r="AE8" i="1" s="1"/>
  <c r="AF8" i="1" s="1"/>
  <c r="AG8" i="1" s="1"/>
  <c r="AC7" i="1"/>
  <c r="AD7" i="1" s="1"/>
  <c r="AE7" i="1" s="1"/>
  <c r="AF7" i="1" s="1"/>
  <c r="AG7" i="1" s="1"/>
  <c r="AF6" i="1"/>
  <c r="AG6" i="1" s="1"/>
  <c r="AB5" i="1"/>
  <c r="AC5" i="1"/>
  <c r="AD5" i="1" s="1"/>
  <c r="AE5" i="1" s="1"/>
  <c r="AF5" i="1" s="1"/>
  <c r="AG5" i="1" s="1"/>
  <c r="AB4" i="1"/>
  <c r="AC4" i="1" s="1"/>
  <c r="AD4" i="1" s="1"/>
  <c r="AE4" i="1" s="1"/>
  <c r="AF4" i="1" s="1"/>
  <c r="AG4" i="1" s="1"/>
  <c r="AC3" i="1"/>
  <c r="AD3" i="1" s="1"/>
  <c r="AE3" i="1" s="1"/>
  <c r="AF3" i="1" s="1"/>
  <c r="AG3" i="1" s="1"/>
</calcChain>
</file>

<file path=xl/sharedStrings.xml><?xml version="1.0" encoding="utf-8"?>
<sst xmlns="http://schemas.openxmlformats.org/spreadsheetml/2006/main" count="140" uniqueCount="23">
  <si>
    <t>A</t>
    <phoneticPr fontId="1" type="noConversion"/>
  </si>
  <si>
    <t>B</t>
    <phoneticPr fontId="1" type="noConversion"/>
  </si>
  <si>
    <t>C</t>
    <phoneticPr fontId="1" type="noConversion"/>
  </si>
  <si>
    <t>network1</t>
    <phoneticPr fontId="1" type="noConversion"/>
  </si>
  <si>
    <t>network2</t>
  </si>
  <si>
    <t>Fab</t>
    <phoneticPr fontId="1" type="noConversion"/>
  </si>
  <si>
    <t>BM Group</t>
    <phoneticPr fontId="1" type="noConversion"/>
  </si>
  <si>
    <t>20267'</t>
    <phoneticPr fontId="1" type="noConversion"/>
  </si>
  <si>
    <t>2026'8</t>
    <phoneticPr fontId="1" type="noConversion"/>
  </si>
  <si>
    <t>2026'9</t>
    <phoneticPr fontId="1" type="noConversion"/>
  </si>
  <si>
    <t>2026'10</t>
    <phoneticPr fontId="1" type="noConversion"/>
  </si>
  <si>
    <t>2026'11</t>
    <phoneticPr fontId="1" type="noConversion"/>
  </si>
  <si>
    <t>2026'12</t>
    <phoneticPr fontId="1" type="noConversion"/>
  </si>
  <si>
    <t>User Demand (vcore)</t>
    <phoneticPr fontId="1" type="noConversion"/>
  </si>
  <si>
    <t>Server Requirement (Hardware)</t>
    <phoneticPr fontId="1" type="noConversion"/>
  </si>
  <si>
    <t>Server MoveIn (Hardware)</t>
    <phoneticPr fontId="1" type="noConversion"/>
  </si>
  <si>
    <t>Server Return (Hardware)</t>
    <phoneticPr fontId="1" type="noConversion"/>
  </si>
  <si>
    <t>Server in-stock (Hardware)</t>
    <phoneticPr fontId="1" type="noConversion"/>
  </si>
  <si>
    <t>Current</t>
    <phoneticPr fontId="1" type="noConversion"/>
  </si>
  <si>
    <t>network2</t>
    <phoneticPr fontId="1" type="noConversion"/>
  </si>
  <si>
    <t>Product Apple</t>
    <phoneticPr fontId="1" type="noConversion"/>
  </si>
  <si>
    <t>Product Banana</t>
    <phoneticPr fontId="1" type="noConversion"/>
  </si>
  <si>
    <t>Server Return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</si>
</sst>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1D21-4AE9-47C1-A069-55F40F5179E4}">
  <dimension ref="A1:AG8"/>
  <sheetViews>
    <sheetView tabSelected="1" workbookViewId="0">
      <selection activeCell="R11" sqref="R11"/>
    </sheetView>
  </sheetViews>
  <sheetFormatPr defaultRowHeight="16.5" x14ac:dyDescent="0.25"/>
  <sheetData>
    <row r="1" spans="1:33" x14ac:dyDescent="0.25">
      <c r="A1" s="2" t="s">
        <v>5</v>
      </c>
      <c r="B1" s="2" t="s">
        <v>6</v>
      </c>
      <c r="C1" s="2" t="s">
        <v>13</v>
      </c>
      <c r="D1" s="2"/>
      <c r="E1" s="2"/>
      <c r="F1" s="2"/>
      <c r="G1" s="2"/>
      <c r="H1" s="2"/>
      <c r="I1" s="2" t="s">
        <v>14</v>
      </c>
      <c r="J1" s="2"/>
      <c r="K1" s="2"/>
      <c r="L1" s="2"/>
      <c r="M1" s="2"/>
      <c r="N1" s="2"/>
      <c r="O1" s="2" t="s">
        <v>15</v>
      </c>
      <c r="P1" s="2"/>
      <c r="Q1" s="2"/>
      <c r="R1" s="2"/>
      <c r="S1" s="2"/>
      <c r="T1" s="2"/>
      <c r="U1" s="2" t="s">
        <v>16</v>
      </c>
      <c r="V1" s="2"/>
      <c r="W1" s="2"/>
      <c r="X1" s="2"/>
      <c r="Y1" s="2"/>
      <c r="Z1" s="2"/>
      <c r="AA1" s="2" t="s">
        <v>17</v>
      </c>
      <c r="AB1" s="2"/>
      <c r="AC1" s="2"/>
      <c r="AD1" s="2"/>
      <c r="AE1" s="2"/>
      <c r="AF1" s="2"/>
      <c r="AG1" s="2"/>
    </row>
    <row r="2" spans="1:33" x14ac:dyDescent="0.25">
      <c r="A2" s="2"/>
      <c r="B2" s="2"/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12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12</v>
      </c>
      <c r="AA2" s="1" t="s">
        <v>18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12</v>
      </c>
    </row>
    <row r="3" spans="1:33" x14ac:dyDescent="0.25">
      <c r="A3" s="1" t="s">
        <v>0</v>
      </c>
      <c r="B3" s="1" t="s">
        <v>3</v>
      </c>
      <c r="C3" s="1">
        <f>A!C5+A!C6</f>
        <v>870</v>
      </c>
      <c r="D3" s="1">
        <f>A!D5+A!D6</f>
        <v>985</v>
      </c>
      <c r="E3" s="1">
        <f>A!E5+A!E6</f>
        <v>555</v>
      </c>
      <c r="F3" s="1">
        <f>A!F5+A!F6</f>
        <v>655</v>
      </c>
      <c r="G3" s="1">
        <f>A!G5+A!G6</f>
        <v>444</v>
      </c>
      <c r="H3" s="1">
        <f>A!H5+A!H6</f>
        <v>451</v>
      </c>
      <c r="I3" s="3">
        <f>C3/(64*0.8)</f>
        <v>16.9921875</v>
      </c>
      <c r="J3" s="3">
        <f t="shared" ref="J3:N3" si="0">D3/(64*0.8)</f>
        <v>19.23828125</v>
      </c>
      <c r="K3" s="3">
        <f t="shared" si="0"/>
        <v>10.83984375</v>
      </c>
      <c r="L3" s="3">
        <f t="shared" si="0"/>
        <v>12.79296875</v>
      </c>
      <c r="M3" s="3">
        <f t="shared" si="0"/>
        <v>8.671875</v>
      </c>
      <c r="N3" s="3">
        <f t="shared" si="0"/>
        <v>8.80859375</v>
      </c>
      <c r="O3">
        <v>0</v>
      </c>
      <c r="P3">
        <v>35</v>
      </c>
      <c r="Q3">
        <v>25</v>
      </c>
      <c r="R3">
        <v>0</v>
      </c>
      <c r="S3">
        <v>0</v>
      </c>
      <c r="T3">
        <v>0</v>
      </c>
      <c r="U3">
        <f>A!M5+A!M6</f>
        <v>0</v>
      </c>
      <c r="V3">
        <f>A!N5+A!N6</f>
        <v>12</v>
      </c>
      <c r="W3">
        <f>A!O5+A!O6</f>
        <v>52</v>
      </c>
      <c r="X3">
        <f>A!P5+A!P6</f>
        <v>0</v>
      </c>
      <c r="Y3">
        <f>A!Q5+A!Q6</f>
        <v>0</v>
      </c>
      <c r="Z3">
        <f>A!R5+A!R6</f>
        <v>0</v>
      </c>
      <c r="AA3">
        <v>50</v>
      </c>
      <c r="AB3" s="3">
        <f>AA3+U3+O3-I3</f>
        <v>33.0078125</v>
      </c>
      <c r="AC3" s="3">
        <f>AB3+V3+P3-J3</f>
        <v>60.76953125</v>
      </c>
      <c r="AD3" s="3">
        <f t="shared" ref="AD3:AG3" si="1">AC3+W3+Q3-K3</f>
        <v>126.9296875</v>
      </c>
      <c r="AE3" s="3">
        <f t="shared" si="1"/>
        <v>114.13671875</v>
      </c>
      <c r="AF3" s="3">
        <f t="shared" si="1"/>
        <v>105.46484375</v>
      </c>
      <c r="AG3" s="3">
        <f t="shared" si="1"/>
        <v>96.65625</v>
      </c>
    </row>
    <row r="4" spans="1:33" x14ac:dyDescent="0.25">
      <c r="A4" s="1" t="s">
        <v>0</v>
      </c>
      <c r="B4" s="1" t="s">
        <v>4</v>
      </c>
      <c r="C4" s="1">
        <f>A!C7+A!C8</f>
        <v>1103</v>
      </c>
      <c r="D4" s="1">
        <f>A!D7+A!D8</f>
        <v>791</v>
      </c>
      <c r="E4" s="1">
        <f>A!E7+A!E8</f>
        <v>0</v>
      </c>
      <c r="F4" s="1">
        <f>A!F7+A!F8</f>
        <v>0</v>
      </c>
      <c r="G4" s="1">
        <f>A!G7+A!G8</f>
        <v>0</v>
      </c>
      <c r="H4" s="1">
        <f>A!H7+A!H8</f>
        <v>1278</v>
      </c>
      <c r="I4" s="3">
        <f t="shared" ref="I4:I8" si="2">C4/(64*0.8)</f>
        <v>21.54296875</v>
      </c>
      <c r="J4" s="3">
        <f t="shared" ref="J4:J8" si="3">D4/(64*0.8)</f>
        <v>15.44921875</v>
      </c>
      <c r="K4" s="3">
        <f t="shared" ref="K4:K8" si="4">E4/(64*0.8)</f>
        <v>0</v>
      </c>
      <c r="L4" s="3">
        <f t="shared" ref="L4:L8" si="5">F4/(64*0.8)</f>
        <v>0</v>
      </c>
      <c r="M4" s="3">
        <f t="shared" ref="M4:M8" si="6">G4/(64*0.8)</f>
        <v>0</v>
      </c>
      <c r="N4" s="3">
        <f t="shared" ref="N4:N8" si="7">H4/(64*0.8)</f>
        <v>24.9609375</v>
      </c>
      <c r="O4">
        <v>0</v>
      </c>
      <c r="P4">
        <v>30</v>
      </c>
      <c r="Q4">
        <v>0</v>
      </c>
      <c r="R4">
        <v>0</v>
      </c>
      <c r="S4">
        <v>12</v>
      </c>
      <c r="T4">
        <v>0</v>
      </c>
      <c r="U4">
        <f>A!M7+A!M8</f>
        <v>0</v>
      </c>
      <c r="V4">
        <f>A!N7+A!N8</f>
        <v>33</v>
      </c>
      <c r="W4">
        <f>A!O7+A!O8</f>
        <v>11</v>
      </c>
      <c r="X4">
        <f>A!P7+A!P8</f>
        <v>0</v>
      </c>
      <c r="Y4">
        <f>A!Q7+A!Q8</f>
        <v>0</v>
      </c>
      <c r="Z4">
        <f>A!R7+A!R8</f>
        <v>22</v>
      </c>
      <c r="AA4">
        <v>32</v>
      </c>
      <c r="AB4" s="3">
        <f t="shared" ref="AB4:AC4" si="8">AA4+U4+O4-I4</f>
        <v>10.45703125</v>
      </c>
      <c r="AC4" s="3">
        <f t="shared" si="8"/>
        <v>58.0078125</v>
      </c>
      <c r="AD4" s="3">
        <f t="shared" ref="AD4:AD8" si="9">AC4+W4+Q4-K4</f>
        <v>69.0078125</v>
      </c>
      <c r="AE4" s="3">
        <f t="shared" ref="AE4:AE8" si="10">AD4+X4+R4-L4</f>
        <v>69.0078125</v>
      </c>
      <c r="AF4" s="3">
        <f t="shared" ref="AF4:AF8" si="11">AE4+Y4+S4-M4</f>
        <v>81.0078125</v>
      </c>
      <c r="AG4" s="3">
        <f t="shared" ref="AG4:AG8" si="12">AF4+Z4+T4-N4</f>
        <v>78.046875</v>
      </c>
    </row>
    <row r="5" spans="1:33" x14ac:dyDescent="0.25">
      <c r="A5" s="1" t="s">
        <v>1</v>
      </c>
      <c r="B5" s="1" t="s">
        <v>3</v>
      </c>
      <c r="C5" s="1">
        <f>B!C5+B!C6</f>
        <v>377</v>
      </c>
      <c r="D5" s="1">
        <f>B!D5+B!D6</f>
        <v>3660</v>
      </c>
      <c r="E5" s="1">
        <f>B!E5+B!E6</f>
        <v>222</v>
      </c>
      <c r="F5" s="1">
        <f>B!F5+B!F6</f>
        <v>552</v>
      </c>
      <c r="G5" s="1">
        <f>B!G5+B!G6</f>
        <v>124</v>
      </c>
      <c r="H5" s="1">
        <f>B!H5+B!H6</f>
        <v>214</v>
      </c>
      <c r="I5" s="3">
        <f t="shared" si="2"/>
        <v>7.36328125</v>
      </c>
      <c r="J5" s="3">
        <f t="shared" si="3"/>
        <v>71.484375</v>
      </c>
      <c r="K5" s="3">
        <f t="shared" si="4"/>
        <v>4.3359375</v>
      </c>
      <c r="L5" s="3">
        <f t="shared" si="5"/>
        <v>10.78125</v>
      </c>
      <c r="M5" s="3">
        <f t="shared" si="6"/>
        <v>2.421875</v>
      </c>
      <c r="N5" s="3">
        <f t="shared" si="7"/>
        <v>4.1796875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f>B!M5+B!M6</f>
        <v>0</v>
      </c>
      <c r="V5">
        <f>B!N5+B!N6</f>
        <v>52</v>
      </c>
      <c r="W5">
        <f>B!O5+B!O6</f>
        <v>33</v>
      </c>
      <c r="X5">
        <f>B!P5+B!P6</f>
        <v>0</v>
      </c>
      <c r="Y5">
        <f>B!Q5+B!Q6</f>
        <v>0</v>
      </c>
      <c r="Z5">
        <f>B!R5+B!R6</f>
        <v>0</v>
      </c>
      <c r="AA5">
        <v>0</v>
      </c>
      <c r="AB5" s="3">
        <f t="shared" ref="AB5:AC5" si="13">AA5+U5+O5-I5</f>
        <v>-7.36328125</v>
      </c>
      <c r="AC5" s="3">
        <f t="shared" si="13"/>
        <v>-26.84765625</v>
      </c>
      <c r="AD5" s="3">
        <f t="shared" si="9"/>
        <v>1.81640625</v>
      </c>
      <c r="AE5" s="3">
        <f t="shared" si="10"/>
        <v>-8.96484375</v>
      </c>
      <c r="AF5" s="3">
        <f t="shared" si="11"/>
        <v>-11.38671875</v>
      </c>
      <c r="AG5" s="3">
        <f t="shared" si="12"/>
        <v>-15.56640625</v>
      </c>
    </row>
    <row r="6" spans="1:33" x14ac:dyDescent="0.25">
      <c r="A6" s="1" t="s">
        <v>1</v>
      </c>
      <c r="B6" s="1" t="s">
        <v>4</v>
      </c>
      <c r="C6" s="1">
        <f>B!C7+B!C8</f>
        <v>255</v>
      </c>
      <c r="D6" s="1">
        <f>B!D7+B!D8</f>
        <v>314</v>
      </c>
      <c r="E6" s="1">
        <f>B!E7+B!E8</f>
        <v>0</v>
      </c>
      <c r="F6" s="1">
        <f>B!F7+B!F8</f>
        <v>0</v>
      </c>
      <c r="G6" s="1">
        <f>B!G7+B!G8</f>
        <v>0</v>
      </c>
      <c r="H6" s="1">
        <f>B!H7+B!H8</f>
        <v>943</v>
      </c>
      <c r="I6" s="3">
        <f t="shared" si="2"/>
        <v>4.98046875</v>
      </c>
      <c r="J6" s="3">
        <f t="shared" si="3"/>
        <v>6.1328125</v>
      </c>
      <c r="K6" s="3">
        <f t="shared" si="4"/>
        <v>0</v>
      </c>
      <c r="L6" s="3">
        <f t="shared" si="5"/>
        <v>0</v>
      </c>
      <c r="M6" s="3">
        <f t="shared" si="6"/>
        <v>0</v>
      </c>
      <c r="N6" s="3">
        <f t="shared" si="7"/>
        <v>18.41796875</v>
      </c>
      <c r="O6">
        <v>0</v>
      </c>
      <c r="P6">
        <v>80</v>
      </c>
      <c r="Q6">
        <v>80</v>
      </c>
      <c r="R6">
        <v>0</v>
      </c>
      <c r="S6">
        <v>0</v>
      </c>
      <c r="T6">
        <v>0</v>
      </c>
      <c r="U6">
        <f>B!M7+B!M8</f>
        <v>0</v>
      </c>
      <c r="V6">
        <f>B!N7+B!N8</f>
        <v>54</v>
      </c>
      <c r="W6">
        <f>B!O7+B!O8</f>
        <v>57</v>
      </c>
      <c r="X6">
        <f>B!P7+B!P8</f>
        <v>58</v>
      </c>
      <c r="Y6">
        <f>B!Q7+B!Q8</f>
        <v>0</v>
      </c>
      <c r="Z6">
        <f>B!R7+B!R8</f>
        <v>3</v>
      </c>
      <c r="AA6">
        <v>0</v>
      </c>
      <c r="AB6" s="3">
        <f t="shared" ref="AB6:AC6" si="14">AA6+U6+O6-I6</f>
        <v>-4.98046875</v>
      </c>
      <c r="AC6" s="3">
        <f t="shared" si="14"/>
        <v>122.88671875</v>
      </c>
      <c r="AD6" s="3">
        <f t="shared" si="9"/>
        <v>259.88671875</v>
      </c>
      <c r="AE6" s="3">
        <f t="shared" si="10"/>
        <v>317.88671875</v>
      </c>
      <c r="AF6" s="3">
        <f t="shared" si="11"/>
        <v>317.88671875</v>
      </c>
      <c r="AG6" s="3">
        <f t="shared" si="12"/>
        <v>302.46875</v>
      </c>
    </row>
    <row r="7" spans="1:33" x14ac:dyDescent="0.25">
      <c r="A7" s="1" t="s">
        <v>2</v>
      </c>
      <c r="B7" s="1" t="s">
        <v>3</v>
      </c>
      <c r="C7" s="1">
        <f>'C'!C5+'C'!C6</f>
        <v>139</v>
      </c>
      <c r="D7" s="1">
        <f>'C'!D5+'C'!D6</f>
        <v>111</v>
      </c>
      <c r="E7" s="1">
        <f>'C'!E5+'C'!E6</f>
        <v>421</v>
      </c>
      <c r="F7" s="1">
        <f>'C'!F5+'C'!F6</f>
        <v>0</v>
      </c>
      <c r="G7" s="1">
        <f>'C'!G5+'C'!G6</f>
        <v>862</v>
      </c>
      <c r="H7" s="1">
        <f>'C'!H5+'C'!H6</f>
        <v>144</v>
      </c>
      <c r="I7" s="3">
        <f t="shared" si="2"/>
        <v>2.71484375</v>
      </c>
      <c r="J7" s="3">
        <f t="shared" si="3"/>
        <v>2.16796875</v>
      </c>
      <c r="K7" s="3">
        <f t="shared" si="4"/>
        <v>8.22265625</v>
      </c>
      <c r="L7" s="3">
        <f t="shared" si="5"/>
        <v>0</v>
      </c>
      <c r="M7" s="3">
        <f t="shared" si="6"/>
        <v>16.8359375</v>
      </c>
      <c r="N7" s="3">
        <f t="shared" si="7"/>
        <v>2.8125</v>
      </c>
      <c r="O7">
        <v>0</v>
      </c>
      <c r="P7">
        <v>10</v>
      </c>
      <c r="Q7">
        <v>0</v>
      </c>
      <c r="R7">
        <v>0</v>
      </c>
      <c r="S7">
        <v>0</v>
      </c>
      <c r="T7">
        <f>'C'!M5+'C'!M6</f>
        <v>0</v>
      </c>
      <c r="U7">
        <f>'C'!M5+'C'!M6</f>
        <v>0</v>
      </c>
      <c r="V7">
        <f>'C'!N5+'C'!N6</f>
        <v>5</v>
      </c>
      <c r="W7">
        <f>'C'!O5+'C'!O6</f>
        <v>55</v>
      </c>
      <c r="X7">
        <f>'C'!P5+'C'!P6</f>
        <v>0</v>
      </c>
      <c r="Y7">
        <f>'C'!Q5+'C'!Q6</f>
        <v>24</v>
      </c>
      <c r="Z7">
        <f>'C'!R5+'C'!R6</f>
        <v>0</v>
      </c>
      <c r="AA7">
        <v>8</v>
      </c>
      <c r="AB7" s="3">
        <f t="shared" ref="AB7:AC7" si="15">AA7+U7+O7-I7</f>
        <v>5.28515625</v>
      </c>
      <c r="AC7" s="3">
        <f t="shared" si="15"/>
        <v>18.1171875</v>
      </c>
      <c r="AD7" s="3">
        <f t="shared" si="9"/>
        <v>64.89453125</v>
      </c>
      <c r="AE7" s="3">
        <f t="shared" si="10"/>
        <v>64.89453125</v>
      </c>
      <c r="AF7" s="3">
        <f t="shared" si="11"/>
        <v>72.05859375</v>
      </c>
      <c r="AG7" s="3">
        <f t="shared" si="12"/>
        <v>69.24609375</v>
      </c>
    </row>
    <row r="8" spans="1:33" x14ac:dyDescent="0.25">
      <c r="A8" s="1" t="s">
        <v>2</v>
      </c>
      <c r="B8" s="1" t="s">
        <v>4</v>
      </c>
      <c r="C8" s="1">
        <f>'C'!C7+'C'!C8</f>
        <v>1355</v>
      </c>
      <c r="D8" s="1">
        <f>'C'!D7+'C'!D8</f>
        <v>3695</v>
      </c>
      <c r="E8" s="1">
        <f>'C'!E7+'C'!E8</f>
        <v>0</v>
      </c>
      <c r="F8" s="1">
        <f>'C'!F7+'C'!F8</f>
        <v>0</v>
      </c>
      <c r="G8" s="1">
        <f>'C'!G7+'C'!G8</f>
        <v>0</v>
      </c>
      <c r="H8" s="1">
        <f>'C'!H7+'C'!H8</f>
        <v>508</v>
      </c>
      <c r="I8" s="3">
        <f t="shared" si="2"/>
        <v>26.46484375</v>
      </c>
      <c r="J8" s="3">
        <f t="shared" si="3"/>
        <v>72.16796875</v>
      </c>
      <c r="K8" s="3">
        <f t="shared" si="4"/>
        <v>0</v>
      </c>
      <c r="L8" s="3">
        <f t="shared" si="5"/>
        <v>0</v>
      </c>
      <c r="M8" s="3">
        <f t="shared" si="6"/>
        <v>0</v>
      </c>
      <c r="N8" s="3">
        <f t="shared" si="7"/>
        <v>9.921875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f>'C'!M7+'C'!M8</f>
        <v>12</v>
      </c>
      <c r="V8">
        <f>'C'!N7+'C'!N8</f>
        <v>0</v>
      </c>
      <c r="W8">
        <f>'C'!O7+'C'!O8</f>
        <v>52</v>
      </c>
      <c r="X8">
        <f>'C'!P7+'C'!P8</f>
        <v>0</v>
      </c>
      <c r="Y8">
        <f>'C'!Q7+'C'!Q8</f>
        <v>33</v>
      </c>
      <c r="Z8">
        <f>'C'!R7+'C'!R8</f>
        <v>8</v>
      </c>
      <c r="AA8">
        <v>21</v>
      </c>
      <c r="AB8" s="3">
        <f t="shared" ref="AB8:AC8" si="16">AA8+U8+O8-I8</f>
        <v>6.53515625</v>
      </c>
      <c r="AC8" s="3">
        <f t="shared" si="16"/>
        <v>-65.6328125</v>
      </c>
      <c r="AD8" s="3">
        <f t="shared" si="9"/>
        <v>-13.6328125</v>
      </c>
      <c r="AE8" s="3">
        <f t="shared" si="10"/>
        <v>-13.6328125</v>
      </c>
      <c r="AF8" s="3">
        <f t="shared" si="11"/>
        <v>19.3671875</v>
      </c>
      <c r="AG8" s="3">
        <f t="shared" si="12"/>
        <v>17.4453125</v>
      </c>
    </row>
  </sheetData>
  <mergeCells count="7">
    <mergeCell ref="AA1:AG1"/>
    <mergeCell ref="A1:A2"/>
    <mergeCell ref="B1:B2"/>
    <mergeCell ref="C1:H1"/>
    <mergeCell ref="I1:N1"/>
    <mergeCell ref="O1:T1"/>
    <mergeCell ref="U1:Z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F0A28-D28B-4C25-A993-6DE961246A01}">
  <dimension ref="A3:R8"/>
  <sheetViews>
    <sheetView workbookViewId="0">
      <selection activeCell="A3" sqref="A3:R8"/>
    </sheetView>
  </sheetViews>
  <sheetFormatPr defaultRowHeight="16.5" x14ac:dyDescent="0.25"/>
  <cols>
    <col min="1" max="1" width="13" bestFit="1" customWidth="1"/>
    <col min="11" max="11" width="14.25" bestFit="1" customWidth="1"/>
  </cols>
  <sheetData>
    <row r="3" spans="1:18" x14ac:dyDescent="0.25">
      <c r="C3" s="2" t="s">
        <v>13</v>
      </c>
      <c r="D3" s="2"/>
      <c r="E3" s="2"/>
      <c r="F3" s="2"/>
      <c r="G3" s="2"/>
      <c r="H3" s="2"/>
      <c r="M3" s="2" t="s">
        <v>22</v>
      </c>
      <c r="N3" s="2"/>
      <c r="O3" s="2"/>
      <c r="P3" s="2"/>
      <c r="Q3" s="2"/>
      <c r="R3" s="2"/>
    </row>
    <row r="4" spans="1:18" x14ac:dyDescent="0.25"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M4" s="1" t="s">
        <v>7</v>
      </c>
      <c r="N4" s="1" t="s">
        <v>8</v>
      </c>
      <c r="O4" s="1" t="s">
        <v>9</v>
      </c>
      <c r="P4" s="1" t="s">
        <v>10</v>
      </c>
      <c r="Q4" s="1" t="s">
        <v>11</v>
      </c>
      <c r="R4" s="1" t="s">
        <v>12</v>
      </c>
    </row>
    <row r="5" spans="1:18" x14ac:dyDescent="0.25">
      <c r="A5" t="s">
        <v>20</v>
      </c>
      <c r="B5" s="1" t="s">
        <v>3</v>
      </c>
      <c r="C5">
        <v>512</v>
      </c>
      <c r="D5">
        <v>422</v>
      </c>
      <c r="E5">
        <v>333</v>
      </c>
      <c r="F5">
        <v>655</v>
      </c>
      <c r="G5">
        <v>444</v>
      </c>
      <c r="H5">
        <v>0</v>
      </c>
      <c r="K5" t="s">
        <v>20</v>
      </c>
      <c r="L5" s="1" t="s">
        <v>3</v>
      </c>
      <c r="M5">
        <v>0</v>
      </c>
      <c r="N5">
        <v>0</v>
      </c>
      <c r="O5">
        <v>52</v>
      </c>
      <c r="P5">
        <v>0</v>
      </c>
      <c r="Q5">
        <v>0</v>
      </c>
      <c r="R5">
        <v>0</v>
      </c>
    </row>
    <row r="6" spans="1:18" x14ac:dyDescent="0.25">
      <c r="A6" t="s">
        <v>21</v>
      </c>
      <c r="B6" s="1" t="s">
        <v>3</v>
      </c>
      <c r="C6">
        <v>358</v>
      </c>
      <c r="D6">
        <v>563</v>
      </c>
      <c r="E6">
        <v>222</v>
      </c>
      <c r="F6">
        <v>0</v>
      </c>
      <c r="G6">
        <v>0</v>
      </c>
      <c r="H6">
        <v>451</v>
      </c>
      <c r="K6" t="s">
        <v>21</v>
      </c>
      <c r="L6" s="1" t="s">
        <v>3</v>
      </c>
      <c r="M6">
        <v>0</v>
      </c>
      <c r="N6">
        <v>12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21</v>
      </c>
      <c r="B7" s="1" t="s">
        <v>19</v>
      </c>
      <c r="C7">
        <v>214</v>
      </c>
      <c r="D7">
        <v>547</v>
      </c>
      <c r="E7">
        <v>0</v>
      </c>
      <c r="F7">
        <v>0</v>
      </c>
      <c r="G7">
        <v>0</v>
      </c>
      <c r="H7">
        <v>423</v>
      </c>
      <c r="K7" t="s">
        <v>21</v>
      </c>
      <c r="L7" s="1" t="s">
        <v>19</v>
      </c>
      <c r="M7">
        <v>0</v>
      </c>
      <c r="N7">
        <v>33</v>
      </c>
      <c r="O7">
        <v>11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 s="1" t="s">
        <v>19</v>
      </c>
      <c r="C8">
        <v>889</v>
      </c>
      <c r="D8">
        <v>244</v>
      </c>
      <c r="E8">
        <v>0</v>
      </c>
      <c r="F8">
        <v>0</v>
      </c>
      <c r="G8">
        <v>0</v>
      </c>
      <c r="H8">
        <v>855</v>
      </c>
      <c r="K8" t="s">
        <v>21</v>
      </c>
      <c r="L8" s="1" t="s">
        <v>19</v>
      </c>
      <c r="M8">
        <v>0</v>
      </c>
      <c r="N8">
        <v>0</v>
      </c>
      <c r="O8">
        <v>0</v>
      </c>
      <c r="P8">
        <v>0</v>
      </c>
      <c r="Q8">
        <v>0</v>
      </c>
      <c r="R8">
        <v>22</v>
      </c>
    </row>
  </sheetData>
  <mergeCells count="2">
    <mergeCell ref="C3:H3"/>
    <mergeCell ref="M3:R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0FF7-2300-48EF-BA00-6DAB7CAA2D4D}">
  <dimension ref="A3:R8"/>
  <sheetViews>
    <sheetView workbookViewId="0">
      <selection activeCell="N9" sqref="N9"/>
    </sheetView>
  </sheetViews>
  <sheetFormatPr defaultRowHeight="16.5" x14ac:dyDescent="0.25"/>
  <sheetData>
    <row r="3" spans="1:18" x14ac:dyDescent="0.25">
      <c r="C3" s="2" t="s">
        <v>13</v>
      </c>
      <c r="D3" s="2"/>
      <c r="E3" s="2"/>
      <c r="F3" s="2"/>
      <c r="G3" s="2"/>
      <c r="H3" s="2"/>
      <c r="M3" s="2" t="s">
        <v>22</v>
      </c>
      <c r="N3" s="2"/>
      <c r="O3" s="2"/>
      <c r="P3" s="2"/>
      <c r="Q3" s="2"/>
      <c r="R3" s="2"/>
    </row>
    <row r="4" spans="1:18" x14ac:dyDescent="0.25"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M4" s="1" t="s">
        <v>7</v>
      </c>
      <c r="N4" s="1" t="s">
        <v>8</v>
      </c>
      <c r="O4" s="1" t="s">
        <v>9</v>
      </c>
      <c r="P4" s="1" t="s">
        <v>10</v>
      </c>
      <c r="Q4" s="1" t="s">
        <v>11</v>
      </c>
      <c r="R4" s="1" t="s">
        <v>12</v>
      </c>
    </row>
    <row r="5" spans="1:18" x14ac:dyDescent="0.25">
      <c r="A5" t="s">
        <v>20</v>
      </c>
      <c r="B5" s="1" t="s">
        <v>3</v>
      </c>
      <c r="C5">
        <v>121</v>
      </c>
      <c r="D5">
        <v>445</v>
      </c>
      <c r="E5">
        <v>222</v>
      </c>
      <c r="F5">
        <v>552</v>
      </c>
      <c r="G5">
        <v>124</v>
      </c>
      <c r="H5">
        <v>0</v>
      </c>
      <c r="K5" t="s">
        <v>20</v>
      </c>
      <c r="L5" s="1" t="s">
        <v>3</v>
      </c>
      <c r="M5">
        <v>0</v>
      </c>
      <c r="N5">
        <v>0</v>
      </c>
      <c r="O5">
        <v>33</v>
      </c>
      <c r="P5">
        <v>0</v>
      </c>
      <c r="Q5">
        <v>0</v>
      </c>
      <c r="R5">
        <v>0</v>
      </c>
    </row>
    <row r="6" spans="1:18" x14ac:dyDescent="0.25">
      <c r="A6" t="s">
        <v>21</v>
      </c>
      <c r="B6" s="1" t="s">
        <v>3</v>
      </c>
      <c r="C6">
        <v>256</v>
      </c>
      <c r="D6">
        <v>3215</v>
      </c>
      <c r="E6">
        <v>0</v>
      </c>
      <c r="F6">
        <v>0</v>
      </c>
      <c r="G6">
        <v>0</v>
      </c>
      <c r="H6">
        <v>214</v>
      </c>
      <c r="K6" t="s">
        <v>21</v>
      </c>
      <c r="L6" s="1" t="s">
        <v>3</v>
      </c>
      <c r="M6">
        <v>0</v>
      </c>
      <c r="N6">
        <v>52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21</v>
      </c>
      <c r="B7" s="1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255</v>
      </c>
      <c r="K7" t="s">
        <v>21</v>
      </c>
      <c r="L7" s="1" t="s">
        <v>19</v>
      </c>
      <c r="M7">
        <v>0</v>
      </c>
      <c r="N7">
        <v>12</v>
      </c>
      <c r="O7">
        <v>57</v>
      </c>
      <c r="P7">
        <v>0</v>
      </c>
      <c r="Q7">
        <v>0</v>
      </c>
      <c r="R7">
        <v>3</v>
      </c>
    </row>
    <row r="8" spans="1:18" x14ac:dyDescent="0.25">
      <c r="A8" t="s">
        <v>21</v>
      </c>
      <c r="B8" s="1" t="s">
        <v>19</v>
      </c>
      <c r="C8">
        <v>255</v>
      </c>
      <c r="D8">
        <v>314</v>
      </c>
      <c r="E8">
        <v>0</v>
      </c>
      <c r="F8">
        <v>0</v>
      </c>
      <c r="G8">
        <v>0</v>
      </c>
      <c r="H8">
        <v>688</v>
      </c>
      <c r="K8" t="s">
        <v>21</v>
      </c>
      <c r="L8" s="1" t="s">
        <v>19</v>
      </c>
      <c r="M8">
        <v>0</v>
      </c>
      <c r="N8">
        <v>42</v>
      </c>
      <c r="O8">
        <v>0</v>
      </c>
      <c r="P8">
        <v>58</v>
      </c>
      <c r="Q8">
        <v>0</v>
      </c>
      <c r="R8">
        <v>0</v>
      </c>
    </row>
  </sheetData>
  <mergeCells count="2">
    <mergeCell ref="C3:H3"/>
    <mergeCell ref="M3:R3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2B06-AA9B-419F-9210-4B093377DE01}">
  <dimension ref="A3:R8"/>
  <sheetViews>
    <sheetView workbookViewId="0">
      <selection activeCell="N14" sqref="N14"/>
    </sheetView>
  </sheetViews>
  <sheetFormatPr defaultRowHeight="16.5" x14ac:dyDescent="0.25"/>
  <sheetData>
    <row r="3" spans="1:18" x14ac:dyDescent="0.25">
      <c r="C3" s="2" t="s">
        <v>13</v>
      </c>
      <c r="D3" s="2"/>
      <c r="E3" s="2"/>
      <c r="F3" s="2"/>
      <c r="G3" s="2"/>
      <c r="H3" s="2"/>
      <c r="M3" s="2" t="s">
        <v>22</v>
      </c>
      <c r="N3" s="2"/>
      <c r="O3" s="2"/>
      <c r="P3" s="2"/>
      <c r="Q3" s="2"/>
      <c r="R3" s="2"/>
    </row>
    <row r="4" spans="1:18" x14ac:dyDescent="0.25"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M4" s="1" t="s">
        <v>7</v>
      </c>
      <c r="N4" s="1" t="s">
        <v>8</v>
      </c>
      <c r="O4" s="1" t="s">
        <v>9</v>
      </c>
      <c r="P4" s="1" t="s">
        <v>10</v>
      </c>
      <c r="Q4" s="1" t="s">
        <v>11</v>
      </c>
      <c r="R4" s="1" t="s">
        <v>12</v>
      </c>
    </row>
    <row r="5" spans="1:18" x14ac:dyDescent="0.25">
      <c r="A5" t="s">
        <v>20</v>
      </c>
      <c r="B5" s="1" t="s">
        <v>3</v>
      </c>
      <c r="C5">
        <v>95</v>
      </c>
      <c r="D5">
        <v>89</v>
      </c>
      <c r="E5">
        <v>0</v>
      </c>
      <c r="F5">
        <v>0</v>
      </c>
      <c r="G5">
        <v>862</v>
      </c>
      <c r="H5">
        <v>0</v>
      </c>
      <c r="K5" t="s">
        <v>20</v>
      </c>
      <c r="L5" s="1" t="s">
        <v>3</v>
      </c>
      <c r="M5">
        <v>0</v>
      </c>
      <c r="N5">
        <v>0</v>
      </c>
      <c r="O5">
        <v>0</v>
      </c>
      <c r="P5">
        <v>0</v>
      </c>
      <c r="Q5">
        <v>24</v>
      </c>
      <c r="R5">
        <v>0</v>
      </c>
    </row>
    <row r="6" spans="1:18" x14ac:dyDescent="0.25">
      <c r="A6" t="s">
        <v>21</v>
      </c>
      <c r="B6" s="1" t="s">
        <v>3</v>
      </c>
      <c r="C6">
        <v>44</v>
      </c>
      <c r="D6">
        <v>22</v>
      </c>
      <c r="E6">
        <v>421</v>
      </c>
      <c r="F6">
        <v>0</v>
      </c>
      <c r="G6">
        <v>0</v>
      </c>
      <c r="H6">
        <v>144</v>
      </c>
      <c r="K6" t="s">
        <v>21</v>
      </c>
      <c r="L6" s="1" t="s">
        <v>3</v>
      </c>
      <c r="M6">
        <v>0</v>
      </c>
      <c r="N6">
        <v>5</v>
      </c>
      <c r="O6">
        <v>55</v>
      </c>
      <c r="P6">
        <v>0</v>
      </c>
      <c r="Q6">
        <v>0</v>
      </c>
      <c r="R6">
        <v>0</v>
      </c>
    </row>
    <row r="7" spans="1:18" x14ac:dyDescent="0.25">
      <c r="A7" t="s">
        <v>21</v>
      </c>
      <c r="B7" s="1" t="s">
        <v>19</v>
      </c>
      <c r="C7">
        <v>331</v>
      </c>
      <c r="D7">
        <v>547</v>
      </c>
      <c r="E7">
        <v>0</v>
      </c>
      <c r="F7">
        <v>0</v>
      </c>
      <c r="G7">
        <v>0</v>
      </c>
      <c r="H7">
        <v>253</v>
      </c>
      <c r="K7" t="s">
        <v>21</v>
      </c>
      <c r="L7" s="1" t="s">
        <v>19</v>
      </c>
      <c r="M7">
        <v>0</v>
      </c>
      <c r="N7">
        <v>0</v>
      </c>
      <c r="O7">
        <v>52</v>
      </c>
      <c r="P7">
        <v>0</v>
      </c>
      <c r="Q7">
        <v>33</v>
      </c>
      <c r="R7">
        <v>0</v>
      </c>
    </row>
    <row r="8" spans="1:18" x14ac:dyDescent="0.25">
      <c r="A8" t="s">
        <v>21</v>
      </c>
      <c r="B8" s="1" t="s">
        <v>19</v>
      </c>
      <c r="C8">
        <v>1024</v>
      </c>
      <c r="D8">
        <v>3148</v>
      </c>
      <c r="E8">
        <v>0</v>
      </c>
      <c r="F8">
        <v>0</v>
      </c>
      <c r="G8">
        <v>0</v>
      </c>
      <c r="H8">
        <v>255</v>
      </c>
      <c r="K8" t="s">
        <v>21</v>
      </c>
      <c r="L8" s="1" t="s">
        <v>19</v>
      </c>
      <c r="M8">
        <v>12</v>
      </c>
      <c r="N8">
        <v>0</v>
      </c>
      <c r="O8">
        <v>0</v>
      </c>
      <c r="P8">
        <v>0</v>
      </c>
      <c r="Q8">
        <v>0</v>
      </c>
      <c r="R8">
        <v>8</v>
      </c>
    </row>
  </sheetData>
  <mergeCells count="2">
    <mergeCell ref="C3:H3"/>
    <mergeCell ref="M3:R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summary</vt:lpstr>
      <vt:lpstr>A</vt:lpstr>
      <vt:lpstr>B</vt:lpstr>
      <vt:lpstr>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韋良 盧</dc:creator>
  <cp:lastModifiedBy>韋良 盧</cp:lastModifiedBy>
  <dcterms:created xsi:type="dcterms:W3CDTF">2026-07-20T13:11:55Z</dcterms:created>
  <dcterms:modified xsi:type="dcterms:W3CDTF">2026-07-20T13:26:40Z</dcterms:modified>
</cp:coreProperties>
</file>